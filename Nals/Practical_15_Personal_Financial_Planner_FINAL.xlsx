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kshat\Downloads\"/>
    </mc:Choice>
  </mc:AlternateContent>
  <xr:revisionPtr revIDLastSave="0" documentId="13_ncr:1_{10EDD1DF-9F80-40CA-9BD4-A205351A22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ses" sheetId="1" r:id="rId1"/>
    <sheet name="Budget" sheetId="2" r:id="rId2"/>
    <sheet name="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C6" i="2"/>
  <c r="C5" i="2"/>
  <c r="C4" i="2"/>
  <c r="C3" i="2"/>
  <c r="C2" i="2"/>
</calcChain>
</file>

<file path=xl/sharedStrings.xml><?xml version="1.0" encoding="utf-8"?>
<sst xmlns="http://schemas.openxmlformats.org/spreadsheetml/2006/main" count="28" uniqueCount="22">
  <si>
    <t>Date</t>
  </si>
  <si>
    <t>Category</t>
  </si>
  <si>
    <t>Description</t>
  </si>
  <si>
    <t>Amount</t>
  </si>
  <si>
    <t>2026-01-01</t>
  </si>
  <si>
    <t>Food</t>
  </si>
  <si>
    <t>Groceries</t>
  </si>
  <si>
    <t>2026-01-03</t>
  </si>
  <si>
    <t>Transport</t>
  </si>
  <si>
    <t>Bus Pass</t>
  </si>
  <si>
    <t>2026-01-05</t>
  </si>
  <si>
    <t>Utilities</t>
  </si>
  <si>
    <t>Electricity Bill</t>
  </si>
  <si>
    <t>2026-01-08</t>
  </si>
  <si>
    <t>Entertainment</t>
  </si>
  <si>
    <t>Movie</t>
  </si>
  <si>
    <t>2026-01-10</t>
  </si>
  <si>
    <t>Dining Out</t>
  </si>
  <si>
    <t>Planned Budget</t>
  </si>
  <si>
    <t>Actual Spending</t>
  </si>
  <si>
    <t>Rent</t>
  </si>
  <si>
    <t>Misc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</si>
</sst>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ill>
        <patternFill patternType="solid">
          <fgColor rgb="FFFF9999"/>
          <bgColor rgb="FFFF999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Spending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Budget!$C$1</c:f>
              <c:strCache>
                <c:ptCount val="1"/>
                <c:pt idx="0">
                  <c:v>Actual Spending</c:v>
                </c:pt>
              </c:strCache>
            </c:strRef>
          </c:tx>
          <c:spPr>
            <a:ln>
              <a:prstDash val="solid"/>
            </a:ln>
          </c:spPr>
          <c:cat>
            <c:strRef>
              <c:f>Budget!$A$2:$A$7</c:f>
              <c:strCache>
                <c:ptCount val="6"/>
                <c:pt idx="0">
                  <c:v>Food</c:v>
                </c:pt>
                <c:pt idx="1">
                  <c:v>Transport</c:v>
                </c:pt>
                <c:pt idx="2">
                  <c:v>Utilities</c:v>
                </c:pt>
                <c:pt idx="3">
                  <c:v>Entertainment</c:v>
                </c:pt>
                <c:pt idx="4">
                  <c:v>Rent</c:v>
                </c:pt>
                <c:pt idx="5">
                  <c:v>Misc</c:v>
                </c:pt>
              </c:strCache>
            </c:strRef>
          </c:cat>
          <c:val>
            <c:numRef>
              <c:f>Budget!$C$2:$C$7</c:f>
              <c:numCache>
                <c:formatCode>General</c:formatCode>
                <c:ptCount val="6"/>
                <c:pt idx="0">
                  <c:v>3700</c:v>
                </c:pt>
                <c:pt idx="1">
                  <c:v>800</c:v>
                </c:pt>
                <c:pt idx="2">
                  <c:v>1800</c:v>
                </c:pt>
                <c:pt idx="3">
                  <c:v>600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F-4A4D-8575-686EE7983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Budget vs Actual Comparison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Budget!$B$1</c:f>
              <c:strCache>
                <c:ptCount val="1"/>
                <c:pt idx="0">
                  <c:v>Planned Budget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Budget!$A$2:$A$7</c:f>
              <c:strCache>
                <c:ptCount val="6"/>
                <c:pt idx="0">
                  <c:v>Food</c:v>
                </c:pt>
                <c:pt idx="1">
                  <c:v>Transport</c:v>
                </c:pt>
                <c:pt idx="2">
                  <c:v>Utilities</c:v>
                </c:pt>
                <c:pt idx="3">
                  <c:v>Entertainment</c:v>
                </c:pt>
                <c:pt idx="4">
                  <c:v>Rent</c:v>
                </c:pt>
                <c:pt idx="5">
                  <c:v>Misc</c:v>
                </c:pt>
              </c:strCache>
            </c:strRef>
          </c:cat>
          <c:val>
            <c:numRef>
              <c:f>Budget!$B$2:$B$7</c:f>
              <c:numCache>
                <c:formatCode>General</c:formatCode>
                <c:ptCount val="6"/>
                <c:pt idx="0">
                  <c:v>4000</c:v>
                </c:pt>
                <c:pt idx="1">
                  <c:v>1500</c:v>
                </c:pt>
                <c:pt idx="2">
                  <c:v>2500</c:v>
                </c:pt>
                <c:pt idx="3">
                  <c:v>1200</c:v>
                </c:pt>
                <c:pt idx="4">
                  <c:v>8000</c:v>
                </c:pt>
                <c:pt idx="5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7-4755-8189-72110965E991}"/>
            </c:ext>
          </c:extLst>
        </c:ser>
        <c:ser>
          <c:idx val="1"/>
          <c:order val="1"/>
          <c:tx>
            <c:strRef>
              <c:f>Budget!$C$1</c:f>
              <c:strCache>
                <c:ptCount val="1"/>
                <c:pt idx="0">
                  <c:v>Actual Spending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Budget!$A$2:$A$7</c:f>
              <c:strCache>
                <c:ptCount val="6"/>
                <c:pt idx="0">
                  <c:v>Food</c:v>
                </c:pt>
                <c:pt idx="1">
                  <c:v>Transport</c:v>
                </c:pt>
                <c:pt idx="2">
                  <c:v>Utilities</c:v>
                </c:pt>
                <c:pt idx="3">
                  <c:v>Entertainment</c:v>
                </c:pt>
                <c:pt idx="4">
                  <c:v>Rent</c:v>
                </c:pt>
                <c:pt idx="5">
                  <c:v>Misc</c:v>
                </c:pt>
              </c:strCache>
            </c:strRef>
          </c:cat>
          <c:val>
            <c:numRef>
              <c:f>Budget!$C$2:$C$7</c:f>
              <c:numCache>
                <c:formatCode>General</c:formatCode>
                <c:ptCount val="6"/>
                <c:pt idx="0">
                  <c:v>3700</c:v>
                </c:pt>
                <c:pt idx="1">
                  <c:v>800</c:v>
                </c:pt>
                <c:pt idx="2">
                  <c:v>1800</c:v>
                </c:pt>
                <c:pt idx="3">
                  <c:v>600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7-4755-8189-72110965E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22860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0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4" sqref="C14"/>
    </sheetView>
  </sheetViews>
  <sheetFormatPr defaultRowHeight="14.4" x14ac:dyDescent="0.3"/>
  <cols>
    <col min="1" max="4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2500</v>
      </c>
    </row>
    <row r="3" spans="1:4" x14ac:dyDescent="0.3">
      <c r="A3" t="s">
        <v>7</v>
      </c>
      <c r="B3" t="s">
        <v>8</v>
      </c>
      <c r="C3" t="s">
        <v>9</v>
      </c>
      <c r="D3">
        <v>800</v>
      </c>
    </row>
    <row r="4" spans="1:4" x14ac:dyDescent="0.3">
      <c r="A4" t="s">
        <v>10</v>
      </c>
      <c r="B4" t="s">
        <v>11</v>
      </c>
      <c r="C4" t="s">
        <v>12</v>
      </c>
      <c r="D4">
        <v>1800</v>
      </c>
    </row>
    <row r="5" spans="1:4" x14ac:dyDescent="0.3">
      <c r="A5" t="s">
        <v>13</v>
      </c>
      <c r="B5" t="s">
        <v>14</v>
      </c>
      <c r="C5" t="s">
        <v>15</v>
      </c>
      <c r="D5">
        <v>600</v>
      </c>
    </row>
    <row r="6" spans="1:4" x14ac:dyDescent="0.3">
      <c r="A6" t="s">
        <v>16</v>
      </c>
      <c r="B6" t="s">
        <v>5</v>
      </c>
      <c r="C6" t="s">
        <v>17</v>
      </c>
      <c r="D6">
        <v>1200</v>
      </c>
    </row>
  </sheetData>
  <dataValidations count="2">
    <dataValidation type="list" sqref="B2:B100" xr:uid="{00000000-0002-0000-0000-000000000000}">
      <formula1>"Food,Transport,Utilities,Entertainment,Rent,Misc"</formula1>
    </dataValidation>
    <dataValidation type="decimal" operator="greaterThan" sqref="D2:D100" xr:uid="{00000000-0002-0000-0000-000001000000}">
      <formula1>0</formula1>
    </dataValidation>
  </dataValidations>
  <pageMargins left="0.5" right="0.5" top="0.75" bottom="0.75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4" x14ac:dyDescent="0.3"/>
  <cols>
    <col min="1" max="3" width="22" customWidth="1"/>
  </cols>
  <sheetData>
    <row r="1" spans="1:3" x14ac:dyDescent="0.3">
      <c r="A1" s="1" t="s">
        <v>1</v>
      </c>
      <c r="B1" s="1" t="s">
        <v>18</v>
      </c>
      <c r="C1" s="1" t="s">
        <v>19</v>
      </c>
    </row>
    <row r="2" spans="1:3" x14ac:dyDescent="0.3">
      <c r="A2" t="s">
        <v>5</v>
      </c>
      <c r="B2">
        <v>4000</v>
      </c>
      <c r="C2">
        <f>SUMIF(Expenses!B:B,"Food",Expenses!D:D)</f>
        <v>3700</v>
      </c>
    </row>
    <row r="3" spans="1:3" x14ac:dyDescent="0.3">
      <c r="A3" t="s">
        <v>8</v>
      </c>
      <c r="B3">
        <v>1500</v>
      </c>
      <c r="C3">
        <f>SUMIF(Expenses!B:B,"Transport",Expenses!D:D)</f>
        <v>800</v>
      </c>
    </row>
    <row r="4" spans="1:3" x14ac:dyDescent="0.3">
      <c r="A4" t="s">
        <v>11</v>
      </c>
      <c r="B4">
        <v>2500</v>
      </c>
      <c r="C4">
        <f>SUMIF(Expenses!B:B,"Utilities",Expenses!D:D)</f>
        <v>1800</v>
      </c>
    </row>
    <row r="5" spans="1:3" x14ac:dyDescent="0.3">
      <c r="A5" t="s">
        <v>14</v>
      </c>
      <c r="B5">
        <v>1200</v>
      </c>
      <c r="C5">
        <f>SUMIF(Expenses!B:B,"Entertainment",Expenses!D:D)</f>
        <v>600</v>
      </c>
    </row>
    <row r="6" spans="1:3" x14ac:dyDescent="0.3">
      <c r="A6" t="s">
        <v>20</v>
      </c>
      <c r="B6">
        <v>8000</v>
      </c>
      <c r="C6">
        <f>SUMIF(Expenses!B:B,"Rent",Expenses!D:D)</f>
        <v>0</v>
      </c>
    </row>
    <row r="7" spans="1:3" x14ac:dyDescent="0.3">
      <c r="A7" t="s">
        <v>21</v>
      </c>
      <c r="B7">
        <v>1000</v>
      </c>
      <c r="C7">
        <f>SUMIF(Expenses!B:B,"Misc",Expenses!D:D)</f>
        <v>0</v>
      </c>
    </row>
  </sheetData>
  <conditionalFormatting sqref="A2:C7">
    <cfRule type="expression" dxfId="0" priority="1">
      <formula>C2&gt;B2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I20" sqref="I20"/>
    </sheetView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Expenses</vt:lpstr>
      <vt:lpstr>Budget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Rahangdale</cp:lastModifiedBy>
  <dcterms:created xsi:type="dcterms:W3CDTF">2026-01-02T09:00:31Z</dcterms:created>
  <dcterms:modified xsi:type="dcterms:W3CDTF">2026-01-02T09:02:04Z</dcterms:modified>
</cp:coreProperties>
</file>